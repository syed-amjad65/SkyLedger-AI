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kyLedger-AI\excel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D3" i="1"/>
  <c r="D4" i="1"/>
  <c r="D5" i="1"/>
  <c r="D6" i="1"/>
  <c r="D7" i="1"/>
  <c r="D8" i="1"/>
  <c r="D9" i="1"/>
  <c r="D10" i="1"/>
  <c r="D11" i="1"/>
  <c r="D2" i="1"/>
  <c r="E2" i="1" l="1"/>
</calcChain>
</file>

<file path=xl/sharedStrings.xml><?xml version="1.0" encoding="utf-8"?>
<sst xmlns="http://schemas.openxmlformats.org/spreadsheetml/2006/main" count="25" uniqueCount="18">
  <si>
    <t>A320</t>
  </si>
  <si>
    <t>RUH-LHR</t>
  </si>
  <si>
    <t>B789</t>
  </si>
  <si>
    <t>RUH-JED</t>
  </si>
  <si>
    <t>A321</t>
  </si>
  <si>
    <t>RUH-DXB</t>
  </si>
  <si>
    <t>RUH-IST</t>
  </si>
  <si>
    <t>RUH-KUL</t>
  </si>
  <si>
    <t>B788</t>
  </si>
  <si>
    <t>RUH-CAI</t>
  </si>
  <si>
    <t>RUH-MXP</t>
  </si>
  <si>
    <t>RUH-CDG</t>
  </si>
  <si>
    <t>RUH-DOH</t>
  </si>
  <si>
    <t>aircraft_type</t>
  </si>
  <si>
    <t xml:space="preserve">frequency </t>
  </si>
  <si>
    <t xml:space="preserve">expected_LF_delta </t>
  </si>
  <si>
    <t>expected_yield_delta</t>
  </si>
  <si>
    <t xml:space="preserve">route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</si>
</sst>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H12" sqref="H12"/>
    </sheetView>
  </sheetViews>
  <sheetFormatPr defaultRowHeight="14.4" x14ac:dyDescent="0.3"/>
  <cols>
    <col min="1" max="1" width="9.109375" bestFit="1" customWidth="1"/>
    <col min="2" max="2" width="11.5546875" bestFit="1" customWidth="1"/>
    <col min="4" max="4" width="16.88671875" bestFit="1" customWidth="1"/>
    <col min="5" max="5" width="18.5546875" bestFit="1" customWidth="1"/>
  </cols>
  <sheetData>
    <row r="1" spans="1:13" x14ac:dyDescent="0.3">
      <c r="A1" t="s">
        <v>17</v>
      </c>
      <c r="B1" t="s">
        <v>13</v>
      </c>
      <c r="C1" t="s">
        <v>14</v>
      </c>
      <c r="D1" t="s">
        <v>15</v>
      </c>
      <c r="E1" t="s">
        <v>16</v>
      </c>
    </row>
    <row r="2" spans="1:13" x14ac:dyDescent="0.3">
      <c r="A2" s="1" t="s">
        <v>1</v>
      </c>
      <c r="B2" s="1" t="s">
        <v>8</v>
      </c>
      <c r="C2" s="1">
        <v>7</v>
      </c>
      <c r="D2">
        <f>IF(B2="B789",0.05,IF(B2="A320",-0.03,0))</f>
        <v>0</v>
      </c>
      <c r="E2">
        <f>IF(C2&gt;7,-0.02,0.01)</f>
        <v>0.01</v>
      </c>
      <c r="J2" s="1"/>
      <c r="K2" s="1"/>
      <c r="L2" s="1"/>
      <c r="M2" s="1"/>
    </row>
    <row r="3" spans="1:13" x14ac:dyDescent="0.3">
      <c r="A3" s="1" t="s">
        <v>3</v>
      </c>
      <c r="B3" s="1" t="s">
        <v>4</v>
      </c>
      <c r="C3" s="1">
        <v>5</v>
      </c>
      <c r="D3">
        <f t="shared" ref="D3:D11" si="0">IF(B3="B789",0.05,IF(B3="A320",-0.03,0))</f>
        <v>0</v>
      </c>
      <c r="E3">
        <f t="shared" ref="E3:E11" si="1">IF(C3&gt;7,-0.02,0.01)</f>
        <v>0.01</v>
      </c>
      <c r="J3" s="1"/>
      <c r="K3" s="1"/>
      <c r="L3" s="1"/>
      <c r="M3" s="1"/>
    </row>
    <row r="4" spans="1:13" x14ac:dyDescent="0.3">
      <c r="A4" s="1" t="s">
        <v>5</v>
      </c>
      <c r="B4" s="1" t="s">
        <v>0</v>
      </c>
      <c r="C4" s="1">
        <v>10</v>
      </c>
      <c r="D4">
        <f t="shared" si="0"/>
        <v>-0.03</v>
      </c>
      <c r="E4">
        <f t="shared" si="1"/>
        <v>-0.02</v>
      </c>
      <c r="J4" s="1"/>
      <c r="K4" s="1"/>
      <c r="L4" s="1"/>
      <c r="M4" s="1"/>
    </row>
    <row r="5" spans="1:13" x14ac:dyDescent="0.3">
      <c r="A5" s="1" t="s">
        <v>6</v>
      </c>
      <c r="B5" s="1" t="s">
        <v>4</v>
      </c>
      <c r="C5" s="1">
        <v>7</v>
      </c>
      <c r="D5">
        <f t="shared" si="0"/>
        <v>0</v>
      </c>
      <c r="E5">
        <f t="shared" si="1"/>
        <v>0.01</v>
      </c>
      <c r="J5" s="1"/>
      <c r="K5" s="1"/>
      <c r="L5" s="1"/>
      <c r="M5" s="1"/>
    </row>
    <row r="6" spans="1:13" x14ac:dyDescent="0.3">
      <c r="A6" s="1" t="s">
        <v>7</v>
      </c>
      <c r="B6" s="1" t="s">
        <v>8</v>
      </c>
      <c r="C6" s="1">
        <v>3</v>
      </c>
      <c r="D6">
        <f t="shared" si="0"/>
        <v>0</v>
      </c>
      <c r="E6">
        <f t="shared" si="1"/>
        <v>0.01</v>
      </c>
      <c r="J6" s="1"/>
      <c r="K6" s="1"/>
      <c r="L6" s="1"/>
      <c r="M6" s="1"/>
    </row>
    <row r="7" spans="1:13" x14ac:dyDescent="0.3">
      <c r="A7" s="1" t="s">
        <v>9</v>
      </c>
      <c r="B7" s="1" t="s">
        <v>0</v>
      </c>
      <c r="C7" s="1">
        <v>5</v>
      </c>
      <c r="D7">
        <f t="shared" si="0"/>
        <v>-0.03</v>
      </c>
      <c r="E7">
        <f t="shared" si="1"/>
        <v>0.01</v>
      </c>
      <c r="J7" s="1"/>
      <c r="K7" s="1"/>
      <c r="L7" s="1"/>
      <c r="M7" s="1"/>
    </row>
    <row r="8" spans="1:13" x14ac:dyDescent="0.3">
      <c r="A8" s="1" t="s">
        <v>10</v>
      </c>
      <c r="B8" s="1" t="s">
        <v>2</v>
      </c>
      <c r="C8" s="1">
        <v>10</v>
      </c>
      <c r="D8">
        <f t="shared" si="0"/>
        <v>0.05</v>
      </c>
      <c r="E8">
        <f t="shared" si="1"/>
        <v>-0.02</v>
      </c>
      <c r="J8" s="1"/>
      <c r="K8" s="1"/>
      <c r="L8" s="1"/>
      <c r="M8" s="1"/>
    </row>
    <row r="9" spans="1:13" x14ac:dyDescent="0.3">
      <c r="A9" s="1" t="s">
        <v>11</v>
      </c>
      <c r="B9" s="1" t="s">
        <v>8</v>
      </c>
      <c r="C9" s="1">
        <v>7</v>
      </c>
      <c r="D9">
        <f t="shared" si="0"/>
        <v>0</v>
      </c>
      <c r="E9">
        <f t="shared" si="1"/>
        <v>0.01</v>
      </c>
      <c r="J9" s="1"/>
      <c r="K9" s="1"/>
      <c r="L9" s="1"/>
      <c r="M9" s="1"/>
    </row>
    <row r="10" spans="1:13" x14ac:dyDescent="0.3">
      <c r="A10" s="1" t="s">
        <v>12</v>
      </c>
      <c r="B10" s="1" t="s">
        <v>4</v>
      </c>
      <c r="C10" s="1">
        <v>3</v>
      </c>
      <c r="D10">
        <f t="shared" si="0"/>
        <v>0</v>
      </c>
      <c r="E10">
        <f t="shared" si="1"/>
        <v>0.01</v>
      </c>
      <c r="J10" s="1"/>
      <c r="K10" s="1"/>
      <c r="L10" s="1"/>
      <c r="M10" s="1"/>
    </row>
    <row r="11" spans="1:13" x14ac:dyDescent="0.3">
      <c r="A11" s="1" t="s">
        <v>1</v>
      </c>
      <c r="B11" s="1" t="s">
        <v>0</v>
      </c>
      <c r="C11" s="1">
        <v>10</v>
      </c>
      <c r="D11">
        <f t="shared" si="0"/>
        <v>-0.03</v>
      </c>
      <c r="E11">
        <f t="shared" si="1"/>
        <v>-0.02</v>
      </c>
      <c r="J11" s="1"/>
      <c r="K11" s="1"/>
      <c r="L11" s="1"/>
      <c r="M11" s="1"/>
    </row>
  </sheetData>
  <dataValidations count="1">
    <dataValidation type="list" allowBlank="1" showInputMessage="1" showErrorMessage="1" sqref="B2">
      <formula1>$B$2:$B$11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2025-12-05T13:33:22Z</dcterms:created>
  <dcterms:modified xsi:type="dcterms:W3CDTF">2025-12-05T17:13:35Z</dcterms:modified>
</cp:coreProperties>
</file>